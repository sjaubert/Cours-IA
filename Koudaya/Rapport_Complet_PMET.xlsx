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Complète" sheetId="1" state="visible" r:id="rId1"/>
    <sheet xmlns:r="http://schemas.openxmlformats.org/officeDocument/2006/relationships" name="Données P" sheetId="2" state="visible" r:id="rId2"/>
    <sheet xmlns:r="http://schemas.openxmlformats.org/officeDocument/2006/relationships" name="Données 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333333"/>
      <sz val="20"/>
    </font>
    <font>
      <i val="1"/>
      <color rgb="00666666"/>
      <sz val="10"/>
    </font>
    <font>
      <name val="Arial"/>
      <b val="1"/>
      <color rgb="000066CC"/>
      <sz val="14"/>
    </font>
    <font>
      <name val="Arial"/>
      <b val="1"/>
      <sz val="11"/>
    </font>
    <font>
      <name val="Arial"/>
      <b val="1"/>
      <color rgb="000066CC"/>
      <sz val="1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Relation 1: VIS 1 ↔ VIS 6</a:t>
            </a:r>
          </a:p>
        </rich>
      </tx>
    </title>
    <plotArea>
      <lineChart>
        <grouping val="standard"/>
        <ser>
          <idx val="0"/>
          <order val="0"/>
          <tx>
            <strRef>
              <f>'Données P'!B1</f>
            </strRef>
          </tx>
          <spPr>
            <a:ln xmlns:a="http://schemas.openxmlformats.org/drawingml/2006/main" w="15000">
              <a:solidFill>
                <a:srgbClr val="1F77B4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P'!$A$2:$A$17</f>
            </numRef>
          </cat>
          <val>
            <numRef>
              <f>'Données P'!$B$2:$B$17</f>
            </numRef>
          </val>
        </ser>
        <ser>
          <idx val="1"/>
          <order val="1"/>
          <tx>
            <strRef>
              <f>'Données P'!G1</f>
            </strRef>
          </tx>
          <spPr>
            <a:ln xmlns:a="http://schemas.openxmlformats.org/drawingml/2006/main" w="15000">
              <a:solidFill>
                <a:srgbClr val="FF7F0E"/>
              </a:solidFill>
              <a:prstDash val="solid"/>
            </a:ln>
          </spPr>
          <marker>
            <symbol val="squar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P'!$A$2:$A$17</f>
            </numRef>
          </cat>
          <val>
            <numRef>
              <f>'Données P'!$G$2:$G$17</f>
            </numRef>
          </val>
        </ser>
        <ser>
          <idx val="2"/>
          <order val="2"/>
          <tx>
            <strRef>
              <f>'Données P'!M1</f>
            </strRef>
          </tx>
          <spPr>
            <a:ln xmlns:a="http://schemas.openxmlformats.org/drawingml/2006/main" w="25000">
              <a:solidFill>
                <a:srgbClr val="FF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'Données P'!$A$2:$A$17</f>
            </numRef>
          </cat>
          <val>
            <numRef>
              <f>'Données P'!$M$2:$M$17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Numéro de moule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50.972"/>
          <min val="7.500999999999999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Mesure (mm)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Relation 2: VIS 2 ↔ VIS 7</a:t>
            </a:r>
          </a:p>
        </rich>
      </tx>
    </title>
    <plotArea>
      <lineChart>
        <grouping val="standard"/>
        <ser>
          <idx val="0"/>
          <order val="0"/>
          <tx>
            <strRef>
              <f>'Données P'!C1</f>
            </strRef>
          </tx>
          <spPr>
            <a:ln xmlns:a="http://schemas.openxmlformats.org/drawingml/2006/main" w="15000">
              <a:solidFill>
                <a:srgbClr val="1F77B4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P'!$A$2:$A$17</f>
            </numRef>
          </cat>
          <val>
            <numRef>
              <f>'Données P'!$C$2:$C$17</f>
            </numRef>
          </val>
        </ser>
        <ser>
          <idx val="1"/>
          <order val="1"/>
          <tx>
            <strRef>
              <f>'Données P'!H1</f>
            </strRef>
          </tx>
          <spPr>
            <a:ln xmlns:a="http://schemas.openxmlformats.org/drawingml/2006/main" w="15000">
              <a:solidFill>
                <a:srgbClr val="FF7F0E"/>
              </a:solidFill>
              <a:prstDash val="solid"/>
            </a:ln>
          </spPr>
          <marker>
            <symbol val="squar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P'!$A$2:$A$17</f>
            </numRef>
          </cat>
          <val>
            <numRef>
              <f>'Données P'!$H$2:$H$17</f>
            </numRef>
          </val>
        </ser>
        <ser>
          <idx val="2"/>
          <order val="2"/>
          <tx>
            <strRef>
              <f>'Données P'!M1</f>
            </strRef>
          </tx>
          <spPr>
            <a:ln xmlns:a="http://schemas.openxmlformats.org/drawingml/2006/main" w="25000">
              <a:solidFill>
                <a:srgbClr val="FF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'Données P'!$A$2:$A$17</f>
            </numRef>
          </cat>
          <val>
            <numRef>
              <f>'Données P'!$M$2:$M$17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Numéro de moule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42.317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Mesure (mm)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Relation 3: VIS 3 ↔ VIS 8</a:t>
            </a:r>
          </a:p>
        </rich>
      </tx>
    </title>
    <plotArea>
      <lineChart>
        <grouping val="standard"/>
        <ser>
          <idx val="0"/>
          <order val="0"/>
          <tx>
            <strRef>
              <f>'Données P'!D1</f>
            </strRef>
          </tx>
          <spPr>
            <a:ln xmlns:a="http://schemas.openxmlformats.org/drawingml/2006/main" w="15000">
              <a:solidFill>
                <a:srgbClr val="1F77B4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P'!$A$2:$A$17</f>
            </numRef>
          </cat>
          <val>
            <numRef>
              <f>'Données P'!$D$2:$D$17</f>
            </numRef>
          </val>
        </ser>
        <ser>
          <idx val="1"/>
          <order val="1"/>
          <tx>
            <strRef>
              <f>'Données P'!I1</f>
            </strRef>
          </tx>
          <spPr>
            <a:ln xmlns:a="http://schemas.openxmlformats.org/drawingml/2006/main" w="15000">
              <a:solidFill>
                <a:srgbClr val="FF7F0E"/>
              </a:solidFill>
              <a:prstDash val="solid"/>
            </a:ln>
          </spPr>
          <marker>
            <symbol val="squar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P'!$A$2:$A$17</f>
            </numRef>
          </cat>
          <val>
            <numRef>
              <f>'Données P'!$I$2:$I$17</f>
            </numRef>
          </val>
        </ser>
        <ser>
          <idx val="2"/>
          <order val="2"/>
          <tx>
            <strRef>
              <f>'Données P'!M1</f>
            </strRef>
          </tx>
          <spPr>
            <a:ln xmlns:a="http://schemas.openxmlformats.org/drawingml/2006/main" w="25000">
              <a:solidFill>
                <a:srgbClr val="FF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'Données P'!$A$2:$A$17</f>
            </numRef>
          </cat>
          <val>
            <numRef>
              <f>'Données P'!$M$2:$M$17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Numéro de moule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74.703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Mesure (mm)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Relation 4: VIS 4 ↔ VIS 9</a:t>
            </a:r>
          </a:p>
        </rich>
      </tx>
    </title>
    <plotArea>
      <lineChart>
        <grouping val="standard"/>
        <ser>
          <idx val="0"/>
          <order val="0"/>
          <tx>
            <strRef>
              <f>'Données P'!E1</f>
            </strRef>
          </tx>
          <spPr>
            <a:ln xmlns:a="http://schemas.openxmlformats.org/drawingml/2006/main" w="15000">
              <a:solidFill>
                <a:srgbClr val="1F77B4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P'!$A$2:$A$17</f>
            </numRef>
          </cat>
          <val>
            <numRef>
              <f>'Données P'!$E$2:$E$17</f>
            </numRef>
          </val>
        </ser>
        <ser>
          <idx val="1"/>
          <order val="1"/>
          <tx>
            <strRef>
              <f>'Données P'!J1</f>
            </strRef>
          </tx>
          <spPr>
            <a:ln xmlns:a="http://schemas.openxmlformats.org/drawingml/2006/main" w="15000">
              <a:solidFill>
                <a:srgbClr val="FF7F0E"/>
              </a:solidFill>
              <a:prstDash val="solid"/>
            </a:ln>
          </spPr>
          <marker>
            <symbol val="squar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P'!$A$2:$A$17</f>
            </numRef>
          </cat>
          <val>
            <numRef>
              <f>'Données P'!$J$2:$J$17</f>
            </numRef>
          </val>
        </ser>
        <ser>
          <idx val="2"/>
          <order val="2"/>
          <tx>
            <strRef>
              <f>'Données P'!M1</f>
            </strRef>
          </tx>
          <spPr>
            <a:ln xmlns:a="http://schemas.openxmlformats.org/drawingml/2006/main" w="25000">
              <a:solidFill>
                <a:srgbClr val="FF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'Données P'!$A$2:$A$17</f>
            </numRef>
          </cat>
          <val>
            <numRef>
              <f>'Données P'!$M$2:$M$17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Numéro de moule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46.598"/>
          <min val="11.85612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Mesure (mm)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Relation 5: VIS 5 ↔ VIS 10</a:t>
            </a:r>
          </a:p>
        </rich>
      </tx>
    </title>
    <plotArea>
      <lineChart>
        <grouping val="standard"/>
        <ser>
          <idx val="0"/>
          <order val="0"/>
          <tx>
            <strRef>
              <f>'Données P'!F1</f>
            </strRef>
          </tx>
          <spPr>
            <a:ln xmlns:a="http://schemas.openxmlformats.org/drawingml/2006/main" w="15000">
              <a:solidFill>
                <a:srgbClr val="1F77B4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P'!$A$2:$A$17</f>
            </numRef>
          </cat>
          <val>
            <numRef>
              <f>'Données P'!$F$2:$F$17</f>
            </numRef>
          </val>
        </ser>
        <ser>
          <idx val="1"/>
          <order val="1"/>
          <tx>
            <strRef>
              <f>'Données P'!K1</f>
            </strRef>
          </tx>
          <spPr>
            <a:ln xmlns:a="http://schemas.openxmlformats.org/drawingml/2006/main" w="15000">
              <a:solidFill>
                <a:srgbClr val="FF7F0E"/>
              </a:solidFill>
              <a:prstDash val="solid"/>
            </a:ln>
          </spPr>
          <marker>
            <symbol val="squar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P'!$A$2:$A$17</f>
            </numRef>
          </cat>
          <val>
            <numRef>
              <f>'Données P'!$K$2:$K$17</f>
            </numRef>
          </val>
        </ser>
        <ser>
          <idx val="2"/>
          <order val="2"/>
          <tx>
            <strRef>
              <f>'Données P'!M1</f>
            </strRef>
          </tx>
          <spPr>
            <a:ln xmlns:a="http://schemas.openxmlformats.org/drawingml/2006/main" w="25000">
              <a:solidFill>
                <a:srgbClr val="FF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'Données P'!$A$2:$A$17</f>
            </numRef>
          </cat>
          <val>
            <numRef>
              <f>'Données P'!$M$2:$M$17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Numéro de moule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46.57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Mesure (mm)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Relation 6: VIS 1 ↔ VIS 6</a:t>
            </a:r>
          </a:p>
        </rich>
      </tx>
    </title>
    <plotArea>
      <lineChart>
        <grouping val="standard"/>
        <ser>
          <idx val="0"/>
          <order val="0"/>
          <tx>
            <strRef>
              <f>'Données G'!B1</f>
            </strRef>
          </tx>
          <spPr>
            <a:ln xmlns:a="http://schemas.openxmlformats.org/drawingml/2006/main" w="15000">
              <a:solidFill>
                <a:srgbClr val="1F77B4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G'!$A$2:$A$17</f>
            </numRef>
          </cat>
          <val>
            <numRef>
              <f>'Données G'!$B$2:$B$17</f>
            </numRef>
          </val>
        </ser>
        <ser>
          <idx val="1"/>
          <order val="1"/>
          <tx>
            <strRef>
              <f>'Données G'!G1</f>
            </strRef>
          </tx>
          <spPr>
            <a:ln xmlns:a="http://schemas.openxmlformats.org/drawingml/2006/main" w="15000">
              <a:solidFill>
                <a:srgbClr val="FF7F0E"/>
              </a:solidFill>
              <a:prstDash val="solid"/>
            </a:ln>
          </spPr>
          <marker>
            <symbol val="squar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G'!$A$2:$A$17</f>
            </numRef>
          </cat>
          <val>
            <numRef>
              <f>'Données G'!$G$2:$G$17</f>
            </numRef>
          </val>
        </ser>
        <ser>
          <idx val="2"/>
          <order val="2"/>
          <tx>
            <strRef>
              <f>'Données G'!M1</f>
            </strRef>
          </tx>
          <spPr>
            <a:ln xmlns:a="http://schemas.openxmlformats.org/drawingml/2006/main" w="25000">
              <a:solidFill>
                <a:srgbClr val="FF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'Données G'!$A$2:$A$17</f>
            </numRef>
          </cat>
          <val>
            <numRef>
              <f>'Données G'!$M$2:$M$17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Numéro de moule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60.46"/>
          <min val="14.549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Mesure (mm)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Relation 7: VIS 2 ↔ VIS 7</a:t>
            </a:r>
          </a:p>
        </rich>
      </tx>
    </title>
    <plotArea>
      <lineChart>
        <grouping val="standard"/>
        <ser>
          <idx val="0"/>
          <order val="0"/>
          <tx>
            <strRef>
              <f>'Données G'!C1</f>
            </strRef>
          </tx>
          <spPr>
            <a:ln xmlns:a="http://schemas.openxmlformats.org/drawingml/2006/main" w="15000">
              <a:solidFill>
                <a:srgbClr val="1F77B4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G'!$A$2:$A$17</f>
            </numRef>
          </cat>
          <val>
            <numRef>
              <f>'Données G'!$C$2:$C$17</f>
            </numRef>
          </val>
        </ser>
        <ser>
          <idx val="1"/>
          <order val="1"/>
          <tx>
            <strRef>
              <f>'Données G'!H1</f>
            </strRef>
          </tx>
          <spPr>
            <a:ln xmlns:a="http://schemas.openxmlformats.org/drawingml/2006/main" w="15000">
              <a:solidFill>
                <a:srgbClr val="FF7F0E"/>
              </a:solidFill>
              <a:prstDash val="solid"/>
            </a:ln>
          </spPr>
          <marker>
            <symbol val="squar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G'!$A$2:$A$17</f>
            </numRef>
          </cat>
          <val>
            <numRef>
              <f>'Données G'!$H$2:$H$17</f>
            </numRef>
          </val>
        </ser>
        <ser>
          <idx val="2"/>
          <order val="2"/>
          <tx>
            <strRef>
              <f>'Données G'!M1</f>
            </strRef>
          </tx>
          <spPr>
            <a:ln xmlns:a="http://schemas.openxmlformats.org/drawingml/2006/main" w="25000">
              <a:solidFill>
                <a:srgbClr val="FF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'Données G'!$A$2:$A$17</f>
            </numRef>
          </cat>
          <val>
            <numRef>
              <f>'Données G'!$M$2:$M$17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Numéro de moule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56.839"/>
          <min val="14.213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Mesure (mm)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Relation 8: VIS 3 ↔ VIS 8</a:t>
            </a:r>
          </a:p>
        </rich>
      </tx>
    </title>
    <plotArea>
      <lineChart>
        <grouping val="standard"/>
        <ser>
          <idx val="0"/>
          <order val="0"/>
          <tx>
            <strRef>
              <f>'Données G'!D1</f>
            </strRef>
          </tx>
          <spPr>
            <a:ln xmlns:a="http://schemas.openxmlformats.org/drawingml/2006/main" w="15000">
              <a:solidFill>
                <a:srgbClr val="1F77B4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G'!$A$2:$A$17</f>
            </numRef>
          </cat>
          <val>
            <numRef>
              <f>'Données G'!$D$2:$D$17</f>
            </numRef>
          </val>
        </ser>
        <ser>
          <idx val="1"/>
          <order val="1"/>
          <tx>
            <strRef>
              <f>'Données G'!I1</f>
            </strRef>
          </tx>
          <spPr>
            <a:ln xmlns:a="http://schemas.openxmlformats.org/drawingml/2006/main" w="15000">
              <a:solidFill>
                <a:srgbClr val="FF7F0E"/>
              </a:solidFill>
              <a:prstDash val="solid"/>
            </a:ln>
          </spPr>
          <marker>
            <symbol val="squar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G'!$A$2:$A$17</f>
            </numRef>
          </cat>
          <val>
            <numRef>
              <f>'Données G'!$I$2:$I$17</f>
            </numRef>
          </val>
        </ser>
        <ser>
          <idx val="2"/>
          <order val="2"/>
          <tx>
            <strRef>
              <f>'Données G'!M1</f>
            </strRef>
          </tx>
          <spPr>
            <a:ln xmlns:a="http://schemas.openxmlformats.org/drawingml/2006/main" w="25000">
              <a:solidFill>
                <a:srgbClr val="FF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'Données G'!$A$2:$A$17</f>
            </numRef>
          </cat>
          <val>
            <numRef>
              <f>'Données G'!$M$2:$M$17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Numéro de moule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58.253"/>
          <min val="42.4838571428571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Mesure (mm)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Relation 9: VIS 4 ↔ VIS 9</a:t>
            </a:r>
          </a:p>
        </rich>
      </tx>
    </title>
    <plotArea>
      <lineChart>
        <grouping val="standard"/>
        <ser>
          <idx val="0"/>
          <order val="0"/>
          <tx>
            <strRef>
              <f>'Données G'!E1</f>
            </strRef>
          </tx>
          <spPr>
            <a:ln xmlns:a="http://schemas.openxmlformats.org/drawingml/2006/main" w="15000">
              <a:solidFill>
                <a:srgbClr val="1F77B4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G'!$A$2:$A$17</f>
            </numRef>
          </cat>
          <val>
            <numRef>
              <f>'Données G'!$E$2:$E$17</f>
            </numRef>
          </val>
        </ser>
        <ser>
          <idx val="1"/>
          <order val="1"/>
          <tx>
            <strRef>
              <f>'Données G'!J1</f>
            </strRef>
          </tx>
          <spPr>
            <a:ln xmlns:a="http://schemas.openxmlformats.org/drawingml/2006/main" w="15000">
              <a:solidFill>
                <a:srgbClr val="FF7F0E"/>
              </a:solidFill>
              <a:prstDash val="solid"/>
            </a:ln>
          </spPr>
          <marker>
            <symbol val="squar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G'!$A$2:$A$17</f>
            </numRef>
          </cat>
          <val>
            <numRef>
              <f>'Données G'!$J$2:$J$17</f>
            </numRef>
          </val>
        </ser>
        <ser>
          <idx val="2"/>
          <order val="2"/>
          <tx>
            <strRef>
              <f>'Données G'!M1</f>
            </strRef>
          </tx>
          <spPr>
            <a:ln xmlns:a="http://schemas.openxmlformats.org/drawingml/2006/main" w="25000">
              <a:solidFill>
                <a:srgbClr val="FF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'Données G'!$A$2:$A$17</f>
            </numRef>
          </cat>
          <val>
            <numRef>
              <f>'Données G'!$M$2:$M$17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Numéro de moule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56.293"/>
          <min val="42.4838571428571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Mesure (mm)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Relation 10: VIS 5 ↔ VIS 10</a:t>
            </a:r>
          </a:p>
        </rich>
      </tx>
    </title>
    <plotArea>
      <lineChart>
        <grouping val="standard"/>
        <ser>
          <idx val="0"/>
          <order val="0"/>
          <tx>
            <strRef>
              <f>'Données G'!F1</f>
            </strRef>
          </tx>
          <spPr>
            <a:ln xmlns:a="http://schemas.openxmlformats.org/drawingml/2006/main" w="15000">
              <a:solidFill>
                <a:srgbClr val="1F77B4"/>
              </a:solidFill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G'!$A$2:$A$17</f>
            </numRef>
          </cat>
          <val>
            <numRef>
              <f>'Données G'!$F$2:$F$17</f>
            </numRef>
          </val>
        </ser>
        <ser>
          <idx val="1"/>
          <order val="1"/>
          <tx>
            <strRef>
              <f>'Données G'!K1</f>
            </strRef>
          </tx>
          <spPr>
            <a:ln xmlns:a="http://schemas.openxmlformats.org/drawingml/2006/main" w="15000">
              <a:solidFill>
                <a:srgbClr val="FF7F0E"/>
              </a:solidFill>
              <a:prstDash val="solid"/>
            </a:ln>
          </spPr>
          <marker>
            <symbol val="squar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'Données G'!$A$2:$A$17</f>
            </numRef>
          </cat>
          <val>
            <numRef>
              <f>'Données G'!$K$2:$K$17</f>
            </numRef>
          </val>
        </ser>
        <ser>
          <idx val="2"/>
          <order val="2"/>
          <tx>
            <strRef>
              <f>'Données G'!M1</f>
            </strRef>
          </tx>
          <spPr>
            <a:ln xmlns:a="http://schemas.openxmlformats.org/drawingml/2006/main" w="25000">
              <a:solidFill>
                <a:srgbClr val="FF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'Données G'!$A$2:$A$17</f>
            </numRef>
          </cat>
          <val>
            <numRef>
              <f>'Données G'!$M$2:$M$17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Numéro de moule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55.859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Mesure (mm)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90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37</row>
      <rowOff>0</rowOff>
    </from>
    <ext cx="90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63</row>
      <rowOff>0</rowOff>
    </from>
    <ext cx="90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89</row>
      <rowOff>0</rowOff>
    </from>
    <ext cx="90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115</row>
      <rowOff>0</rowOff>
    </from>
    <ext cx="900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</col>
      <colOff>0</colOff>
      <row>150</row>
      <rowOff>0</rowOff>
    </from>
    <ext cx="9000000" cy="43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176</row>
      <rowOff>0</rowOff>
    </from>
    <ext cx="9000000" cy="43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</col>
      <colOff>0</colOff>
      <row>202</row>
      <rowOff>0</rowOff>
    </from>
    <ext cx="9000000" cy="43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</col>
      <colOff>0</colOff>
      <row>228</row>
      <rowOff>0</rowOff>
    </from>
    <ext cx="9000000" cy="43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</col>
      <colOff>0</colOff>
      <row>254</row>
      <rowOff>0</rowOff>
    </from>
    <ext cx="9000000" cy="43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54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  <col width="25" customWidth="1" min="5" max="5"/>
  </cols>
  <sheetData>
    <row r="2">
      <c r="B2" s="1" t="inlineStr">
        <is>
          <t>SATEBA France - Rapport d'Analyse PMET (Interactif)</t>
        </is>
      </c>
    </row>
    <row r="3">
      <c r="B3" s="2" t="inlineStr">
        <is>
          <t>Généré le: 15/01/2026 09:42</t>
        </is>
      </c>
    </row>
    <row r="5">
      <c r="B5" s="3" t="inlineStr">
        <is>
          <t>ANALYSE P PMET - Relations 1 à 5 (&lt; 80mm)</t>
        </is>
      </c>
    </row>
    <row r="7">
      <c r="B7" s="4" t="inlineStr">
        <is>
          <t>MOULE</t>
        </is>
      </c>
      <c r="C7" s="4" t="inlineStr">
        <is>
          <t>Nb DEFAUT MOULE</t>
        </is>
      </c>
      <c r="D7" s="4" t="inlineStr">
        <is>
          <t>Nb DEFAUT PMET</t>
        </is>
      </c>
      <c r="E7" s="4" t="inlineStr">
        <is>
          <t>NON CONFORME%</t>
        </is>
      </c>
      <c r="F7" s="4" t="inlineStr">
        <is>
          <t>PPMET DEFAUT%</t>
        </is>
      </c>
      <c r="G7" s="4" t="inlineStr">
        <is>
          <t>MOYENNE</t>
        </is>
      </c>
    </row>
    <row r="8">
      <c r="B8" s="5" t="n">
        <v>16</v>
      </c>
      <c r="C8" s="5" t="n">
        <v>3</v>
      </c>
      <c r="D8" s="5" t="n">
        <v>30</v>
      </c>
      <c r="E8" s="5" t="inlineStr">
        <is>
          <t>18.75%</t>
        </is>
      </c>
      <c r="F8" s="5" t="inlineStr">
        <is>
          <t>18.75%</t>
        </is>
      </c>
      <c r="G8" s="5" t="inlineStr">
        <is>
          <t>83.48</t>
        </is>
      </c>
    </row>
    <row r="11">
      <c r="B11" s="6" t="inlineStr">
        <is>
          <t>MOYENNE RELATION 1 : 81.62 mm</t>
        </is>
      </c>
    </row>
    <row r="37">
      <c r="B37" s="6" t="inlineStr">
        <is>
          <t>MOYENNE RELATION 2 : 82.37 mm</t>
        </is>
      </c>
    </row>
    <row r="63">
      <c r="B63" s="6" t="inlineStr">
        <is>
          <t>MOYENNE RELATION 3 : 85.15 mm</t>
        </is>
      </c>
    </row>
    <row r="89">
      <c r="B89" s="6" t="inlineStr">
        <is>
          <t>MOYENNE RELATION 4 : 84.34 mm</t>
        </is>
      </c>
    </row>
    <row r="115">
      <c r="B115" s="6" t="inlineStr">
        <is>
          <t>MOYENNE RELATION 5 : 83.94 mm</t>
        </is>
      </c>
    </row>
    <row r="144">
      <c r="B144" s="3" t="inlineStr">
        <is>
          <t>ANALYSE G PMET - Relations 6 à 10 (&lt; 130mm)</t>
        </is>
      </c>
    </row>
    <row r="146">
      <c r="B146" s="4" t="inlineStr">
        <is>
          <t>MOULE</t>
        </is>
      </c>
      <c r="C146" s="4" t="inlineStr">
        <is>
          <t>Nb DEFAUT MOULE</t>
        </is>
      </c>
      <c r="D146" s="4" t="inlineStr">
        <is>
          <t>Nb DEFAUT PMET</t>
        </is>
      </c>
      <c r="E146" s="4" t="inlineStr">
        <is>
          <t>NON CONFORME%</t>
        </is>
      </c>
      <c r="F146" s="4" t="inlineStr">
        <is>
          <t>GPMET DEFAUT%</t>
        </is>
      </c>
      <c r="G146" s="4" t="inlineStr">
        <is>
          <t>MOYENNE</t>
        </is>
      </c>
    </row>
    <row r="147">
      <c r="B147" s="5" t="n">
        <v>16</v>
      </c>
      <c r="C147" s="5" t="n">
        <v>6</v>
      </c>
      <c r="D147" s="5" t="n">
        <v>33</v>
      </c>
      <c r="E147" s="5" t="inlineStr">
        <is>
          <t>37.50%</t>
        </is>
      </c>
      <c r="F147" s="5" t="inlineStr">
        <is>
          <t>20.62%</t>
        </is>
      </c>
      <c r="G147" s="5" t="inlineStr">
        <is>
          <t>131.12</t>
        </is>
      </c>
    </row>
    <row r="150">
      <c r="B150" s="6" t="inlineStr">
        <is>
          <t>MOYENNE RELATION 6 : 128.50 mm</t>
        </is>
      </c>
    </row>
    <row r="176">
      <c r="B176" s="6" t="inlineStr">
        <is>
          <t>MOYENNE RELATION 7 : 132.45 mm</t>
        </is>
      </c>
    </row>
    <row r="202">
      <c r="B202" s="6" t="inlineStr">
        <is>
          <t>MOYENNE RELATION 8 : 132.70 mm</t>
        </is>
      </c>
    </row>
    <row r="228">
      <c r="B228" s="6" t="inlineStr">
        <is>
          <t>MOYENNE RELATION 9 : 132.82 mm</t>
        </is>
      </c>
    </row>
    <row r="254">
      <c r="B254" s="6" t="inlineStr">
        <is>
          <t>MOYENNE RELATION 10 : 129.16 mm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MOULE</t>
        </is>
      </c>
      <c r="B1" t="inlineStr">
        <is>
          <t>P PMET Cote vis 1</t>
        </is>
      </c>
      <c r="C1" t="inlineStr">
        <is>
          <t>P PMET Cote vis 2</t>
        </is>
      </c>
      <c r="D1" t="inlineStr">
        <is>
          <t>P PMET Cote vis 3</t>
        </is>
      </c>
      <c r="E1" t="inlineStr">
        <is>
          <t>P PMET Cote vis 4</t>
        </is>
      </c>
      <c r="F1" t="inlineStr">
        <is>
          <t>P PMET Cote vis 5</t>
        </is>
      </c>
      <c r="G1" t="inlineStr">
        <is>
          <t>P PMET Cote vis 6</t>
        </is>
      </c>
      <c r="H1" t="inlineStr">
        <is>
          <t>P PMET Cote vis 7</t>
        </is>
      </c>
      <c r="I1" t="inlineStr">
        <is>
          <t>P PMET Cote vis 8</t>
        </is>
      </c>
      <c r="J1" t="inlineStr">
        <is>
          <t>P PMET Cote vis 9</t>
        </is>
      </c>
      <c r="K1" t="inlineStr">
        <is>
          <t>P PMET Cote vis 10</t>
        </is>
      </c>
      <c r="M1" t="inlineStr">
        <is>
          <t>Limite (80)</t>
        </is>
      </c>
    </row>
    <row r="2">
      <c r="A2" t="n">
        <v>1</v>
      </c>
      <c r="B2" t="n">
        <v>29.326</v>
      </c>
      <c r="C2" t="n">
        <v>24.17</v>
      </c>
      <c r="D2" t="n">
        <v>27.285</v>
      </c>
      <c r="E2" t="n">
        <v>28.306</v>
      </c>
      <c r="F2" t="n">
        <v>22.975</v>
      </c>
      <c r="G2" t="n">
        <v>23.7</v>
      </c>
      <c r="H2" t="n">
        <v>34.818</v>
      </c>
      <c r="I2" t="n">
        <v>23.969</v>
      </c>
      <c r="J2" t="n">
        <v>26.818625</v>
      </c>
      <c r="K2" t="n">
        <v>26.818625</v>
      </c>
      <c r="M2" t="n">
        <v>80</v>
      </c>
    </row>
    <row r="3">
      <c r="A3" t="n">
        <v>2</v>
      </c>
      <c r="B3" t="n">
        <v>23.175</v>
      </c>
      <c r="C3" t="n">
        <v>28.828</v>
      </c>
      <c r="D3" t="n">
        <v>23.242</v>
      </c>
      <c r="E3" t="n">
        <v>37.421</v>
      </c>
      <c r="F3" t="n">
        <v>23.417</v>
      </c>
      <c r="G3" t="n">
        <v>30.331</v>
      </c>
      <c r="H3" t="n">
        <v>26.518</v>
      </c>
      <c r="I3" t="n">
        <v>22.906</v>
      </c>
      <c r="J3" t="n">
        <v>26.97975</v>
      </c>
      <c r="K3" t="n">
        <v>26.97975</v>
      </c>
      <c r="M3" t="n">
        <v>80</v>
      </c>
    </row>
    <row r="4">
      <c r="A4" t="n">
        <v>3</v>
      </c>
      <c r="B4" t="n">
        <v>24.102</v>
      </c>
      <c r="C4" t="n">
        <v>32.507</v>
      </c>
      <c r="D4" t="n">
        <v>38.012</v>
      </c>
      <c r="E4" t="n">
        <v>23.994</v>
      </c>
      <c r="F4" t="n">
        <v>2.162</v>
      </c>
      <c r="G4" t="n">
        <v>12.501</v>
      </c>
      <c r="H4" t="n">
        <v>1.007</v>
      </c>
      <c r="I4" t="n">
        <v>0.5639999999999999</v>
      </c>
      <c r="J4" t="n">
        <v>16.856125</v>
      </c>
      <c r="K4" t="n">
        <v>16.856125</v>
      </c>
      <c r="M4" t="n">
        <v>80</v>
      </c>
    </row>
    <row r="5">
      <c r="A5" t="n">
        <v>4</v>
      </c>
      <c r="B5" t="n">
        <v>121.082</v>
      </c>
      <c r="C5" t="n">
        <v>92.83199999999999</v>
      </c>
      <c r="D5" t="n">
        <v>95.39700000000001</v>
      </c>
      <c r="E5" t="n">
        <v>141.598</v>
      </c>
      <c r="F5" t="n">
        <v>135.368</v>
      </c>
      <c r="G5" t="n">
        <v>87.31399999999999</v>
      </c>
      <c r="H5" t="n">
        <v>107.212</v>
      </c>
      <c r="I5" t="n">
        <v>127.231</v>
      </c>
      <c r="J5" t="n">
        <v>113.50425</v>
      </c>
      <c r="K5" t="n">
        <v>113.50425</v>
      </c>
      <c r="M5" t="n">
        <v>80</v>
      </c>
    </row>
    <row r="6">
      <c r="A6" t="n">
        <v>5</v>
      </c>
      <c r="B6" t="n">
        <v>90.61</v>
      </c>
      <c r="C6" t="n">
        <v>88.247</v>
      </c>
      <c r="D6" t="n">
        <v>94.276</v>
      </c>
      <c r="E6" t="n">
        <v>88.301</v>
      </c>
      <c r="F6" t="n">
        <v>105.394</v>
      </c>
      <c r="G6" t="n">
        <v>86.676</v>
      </c>
      <c r="H6" t="n">
        <v>123.266</v>
      </c>
      <c r="I6" t="n">
        <v>85.736</v>
      </c>
      <c r="J6" t="n">
        <v>95.31325</v>
      </c>
      <c r="K6" t="n">
        <v>95.31325</v>
      </c>
      <c r="M6" t="n">
        <v>80</v>
      </c>
    </row>
    <row r="7">
      <c r="A7" t="n">
        <v>6</v>
      </c>
      <c r="B7" t="n">
        <v>87.033</v>
      </c>
      <c r="C7" t="n">
        <v>137.317</v>
      </c>
      <c r="D7" t="n">
        <v>96.86199999999999</v>
      </c>
      <c r="E7" t="n">
        <v>122.641</v>
      </c>
      <c r="F7" t="n">
        <v>85.38200000000001</v>
      </c>
      <c r="G7" t="n">
        <v>86.026</v>
      </c>
      <c r="H7" t="n">
        <v>125.85</v>
      </c>
      <c r="I7" t="n">
        <v>120.09</v>
      </c>
      <c r="J7" t="n">
        <v>107.650125</v>
      </c>
      <c r="K7" t="n">
        <v>107.650125</v>
      </c>
      <c r="M7" t="n">
        <v>80</v>
      </c>
    </row>
    <row r="8">
      <c r="A8" t="n">
        <v>7</v>
      </c>
      <c r="B8" t="n">
        <v>89.804</v>
      </c>
      <c r="C8" t="n">
        <v>87.13200000000001</v>
      </c>
      <c r="D8" t="n">
        <v>92.38200000000001</v>
      </c>
      <c r="E8" t="n">
        <v>98.182</v>
      </c>
      <c r="F8" t="n">
        <v>133.994</v>
      </c>
      <c r="G8" t="n">
        <v>90.26000000000001</v>
      </c>
      <c r="H8" t="n">
        <v>84.379</v>
      </c>
      <c r="I8" t="n">
        <v>85.50700000000001</v>
      </c>
      <c r="J8" t="n">
        <v>95.20500000000001</v>
      </c>
      <c r="K8" t="n">
        <v>95.20500000000001</v>
      </c>
      <c r="M8" t="n">
        <v>80</v>
      </c>
    </row>
    <row r="9">
      <c r="A9" t="n">
        <v>8</v>
      </c>
      <c r="B9" t="n">
        <v>145.972</v>
      </c>
      <c r="C9" t="n">
        <v>88.501</v>
      </c>
      <c r="D9" t="n">
        <v>142.333</v>
      </c>
      <c r="E9" t="n">
        <v>91.2</v>
      </c>
      <c r="F9" t="n">
        <v>90.381</v>
      </c>
      <c r="G9" t="n">
        <v>129.335</v>
      </c>
      <c r="H9" t="n">
        <v>85.803</v>
      </c>
      <c r="I9" t="n">
        <v>90.529</v>
      </c>
      <c r="J9" t="n">
        <v>108.00675</v>
      </c>
      <c r="K9" t="n">
        <v>108.00675</v>
      </c>
      <c r="M9" t="n">
        <v>80</v>
      </c>
    </row>
    <row r="10">
      <c r="A10" t="n">
        <v>9</v>
      </c>
      <c r="B10" t="n">
        <v>87.188</v>
      </c>
      <c r="C10" t="n">
        <v>88.14100000000001</v>
      </c>
      <c r="D10" t="n">
        <v>131.702</v>
      </c>
      <c r="E10" t="n">
        <v>92.505</v>
      </c>
      <c r="F10" t="n">
        <v>141.571</v>
      </c>
      <c r="G10" t="n">
        <v>86.785</v>
      </c>
      <c r="H10" t="n">
        <v>84.54300000000001</v>
      </c>
      <c r="I10" t="n">
        <v>169.703</v>
      </c>
      <c r="J10" t="n">
        <v>110.26725</v>
      </c>
      <c r="K10" t="n">
        <v>110.26725</v>
      </c>
      <c r="M10" t="n">
        <v>80</v>
      </c>
    </row>
    <row r="11">
      <c r="A11" t="n">
        <v>10</v>
      </c>
      <c r="B11" t="n">
        <v>87.456</v>
      </c>
      <c r="C11" t="n">
        <v>88.544</v>
      </c>
      <c r="D11" t="n">
        <v>86.83799999999999</v>
      </c>
      <c r="E11" t="n">
        <v>92.774</v>
      </c>
      <c r="F11" t="n">
        <v>94.64</v>
      </c>
      <c r="G11" t="n">
        <v>86.825</v>
      </c>
      <c r="H11" t="n">
        <v>98.467</v>
      </c>
      <c r="I11" t="n">
        <v>86.56999999999999</v>
      </c>
      <c r="J11" t="n">
        <v>90.26424999999999</v>
      </c>
      <c r="K11" t="n">
        <v>90.26424999999999</v>
      </c>
      <c r="M11" t="n">
        <v>80</v>
      </c>
    </row>
    <row r="12">
      <c r="A12" t="n">
        <v>11</v>
      </c>
      <c r="B12" t="n">
        <v>86.872</v>
      </c>
      <c r="C12" t="n">
        <v>92.498</v>
      </c>
      <c r="D12" t="n">
        <v>85.717</v>
      </c>
      <c r="E12" t="n">
        <v>90.336</v>
      </c>
      <c r="F12" t="n">
        <v>84.38800000000001</v>
      </c>
      <c r="G12" t="n">
        <v>96.982</v>
      </c>
      <c r="H12" t="n">
        <v>119.459</v>
      </c>
      <c r="I12" t="n">
        <v>85.999</v>
      </c>
      <c r="J12" t="n">
        <v>92.781375</v>
      </c>
      <c r="K12" t="n">
        <v>92.781375</v>
      </c>
      <c r="M12" t="n">
        <v>80</v>
      </c>
    </row>
    <row r="13">
      <c r="A13" t="n">
        <v>12</v>
      </c>
      <c r="B13" t="n">
        <v>86.714</v>
      </c>
      <c r="C13" t="n">
        <v>87.197</v>
      </c>
      <c r="D13" t="n">
        <v>86.163</v>
      </c>
      <c r="E13" t="n">
        <v>90.944</v>
      </c>
      <c r="F13" t="n">
        <v>85.02200000000001</v>
      </c>
      <c r="G13" t="n">
        <v>86.956</v>
      </c>
      <c r="H13" t="n">
        <v>86.11</v>
      </c>
      <c r="I13" t="n">
        <v>88.648</v>
      </c>
      <c r="J13" t="n">
        <v>87.21925</v>
      </c>
      <c r="K13" t="n">
        <v>87.21925</v>
      </c>
      <c r="M13" t="n">
        <v>80</v>
      </c>
    </row>
    <row r="14">
      <c r="A14" t="n">
        <v>13</v>
      </c>
      <c r="B14" t="n">
        <v>93.45</v>
      </c>
      <c r="C14" t="n">
        <v>116.491</v>
      </c>
      <c r="D14" t="n">
        <v>91.396</v>
      </c>
      <c r="E14" t="n">
        <v>90.30800000000001</v>
      </c>
      <c r="F14" t="n">
        <v>88.88500000000001</v>
      </c>
      <c r="G14" t="n">
        <v>86.133</v>
      </c>
      <c r="H14" t="n">
        <v>84.092</v>
      </c>
      <c r="I14" t="n">
        <v>89.14</v>
      </c>
      <c r="J14" t="n">
        <v>92.486875</v>
      </c>
      <c r="K14" t="n">
        <v>92.486875</v>
      </c>
      <c r="M14" t="n">
        <v>80</v>
      </c>
    </row>
    <row r="15">
      <c r="A15" t="n">
        <v>14</v>
      </c>
      <c r="B15" t="n">
        <v>107.636</v>
      </c>
      <c r="C15" t="n">
        <v>86.59699999999999</v>
      </c>
      <c r="D15" t="n">
        <v>85.55</v>
      </c>
      <c r="E15" t="n">
        <v>86.79900000000001</v>
      </c>
      <c r="F15" t="n">
        <v>85.899</v>
      </c>
      <c r="G15" t="n">
        <v>86.77200000000001</v>
      </c>
      <c r="H15" t="n">
        <v>86.383</v>
      </c>
      <c r="I15" t="n">
        <v>89.685</v>
      </c>
      <c r="J15" t="n">
        <v>89.41512499999999</v>
      </c>
      <c r="K15" t="n">
        <v>89.41512499999999</v>
      </c>
      <c r="M15" t="n">
        <v>80</v>
      </c>
    </row>
    <row r="16">
      <c r="A16" t="n">
        <v>15</v>
      </c>
      <c r="B16" t="n">
        <v>87.435</v>
      </c>
      <c r="C16" t="n">
        <v>90.52200000000001</v>
      </c>
      <c r="D16" t="n">
        <v>85.877</v>
      </c>
      <c r="E16" t="n">
        <v>97.127</v>
      </c>
      <c r="F16" t="n">
        <v>84.938</v>
      </c>
      <c r="G16" t="n">
        <v>113.344</v>
      </c>
      <c r="H16" t="n">
        <v>84.038</v>
      </c>
      <c r="I16" t="n">
        <v>109.867</v>
      </c>
      <c r="J16" t="n">
        <v>94.1435</v>
      </c>
      <c r="K16" t="n">
        <v>94.1435</v>
      </c>
      <c r="M16" t="n">
        <v>80</v>
      </c>
    </row>
    <row r="17">
      <c r="A17" t="n">
        <v>16</v>
      </c>
      <c r="B17" t="n">
        <v>86.492</v>
      </c>
      <c r="C17" t="n">
        <v>87.714</v>
      </c>
      <c r="D17" t="n">
        <v>85.78100000000001</v>
      </c>
      <c r="E17" t="n">
        <v>90.69499999999999</v>
      </c>
      <c r="F17" t="n">
        <v>85.834</v>
      </c>
      <c r="G17" t="n">
        <v>87.51300000000001</v>
      </c>
      <c r="H17" t="n">
        <v>86.57299999999999</v>
      </c>
      <c r="I17" t="n">
        <v>99.94499999999999</v>
      </c>
      <c r="J17" t="n">
        <v>88.818375</v>
      </c>
      <c r="K17" t="n">
        <v>88.818375</v>
      </c>
      <c r="M17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MOULE</t>
        </is>
      </c>
      <c r="B1" t="inlineStr">
        <is>
          <t>G PMET Cote vis 1</t>
        </is>
      </c>
      <c r="C1" t="inlineStr">
        <is>
          <t>G PMET Cote vis 2</t>
        </is>
      </c>
      <c r="D1" t="inlineStr">
        <is>
          <t>G PMET Cote vis 3</t>
        </is>
      </c>
      <c r="E1" t="inlineStr">
        <is>
          <t>G PMET Cote vis 4</t>
        </is>
      </c>
      <c r="F1" t="inlineStr">
        <is>
          <t>G PMET Cote vis 5</t>
        </is>
      </c>
      <c r="G1" t="inlineStr">
        <is>
          <t>G PMET Cote vis 6</t>
        </is>
      </c>
      <c r="H1" t="inlineStr">
        <is>
          <t>G PMET Cote vis 7</t>
        </is>
      </c>
      <c r="I1" t="inlineStr">
        <is>
          <t>G PMET Cote vis 8</t>
        </is>
      </c>
      <c r="J1" t="inlineStr">
        <is>
          <t>G PMET Cote vis 9</t>
        </is>
      </c>
      <c r="K1" t="inlineStr">
        <is>
          <t>G PMET Cote vis 10</t>
        </is>
      </c>
      <c r="M1" t="inlineStr">
        <is>
          <t>Limite (130)</t>
        </is>
      </c>
    </row>
    <row r="2">
      <c r="A2" t="n">
        <v>1</v>
      </c>
      <c r="B2" t="n">
        <v>77.61799999999999</v>
      </c>
      <c r="C2" t="n">
        <v>105.178</v>
      </c>
      <c r="D2" t="n">
        <v>75.819</v>
      </c>
      <c r="E2" t="n">
        <v>76.48999999999999</v>
      </c>
      <c r="F2" t="n">
        <v>78.383</v>
      </c>
      <c r="G2" t="n">
        <v>76.22199999999999</v>
      </c>
      <c r="H2" t="n">
        <v>71</v>
      </c>
      <c r="I2" t="n">
        <v>80.10142857142857</v>
      </c>
      <c r="J2" t="n">
        <v>80.10142857142857</v>
      </c>
      <c r="K2" t="n">
        <v>80.10142857142857</v>
      </c>
      <c r="M2" t="n">
        <v>130</v>
      </c>
    </row>
    <row r="3">
      <c r="A3" t="n">
        <v>2</v>
      </c>
      <c r="B3" t="n">
        <v>79.956</v>
      </c>
      <c r="C3" t="n">
        <v>80.49299999999999</v>
      </c>
      <c r="D3" t="n">
        <v>72.69199999999999</v>
      </c>
      <c r="E3" t="n">
        <v>102.07</v>
      </c>
      <c r="F3" t="n">
        <v>75.377</v>
      </c>
      <c r="G3" t="n">
        <v>72.974</v>
      </c>
      <c r="H3" t="n">
        <v>76.78700000000001</v>
      </c>
      <c r="I3" t="n">
        <v>80.04985714285715</v>
      </c>
      <c r="J3" t="n">
        <v>80.04985714285715</v>
      </c>
      <c r="K3" t="n">
        <v>80.04985714285715</v>
      </c>
      <c r="M3" t="n">
        <v>130</v>
      </c>
    </row>
    <row r="4">
      <c r="A4" t="n">
        <v>3</v>
      </c>
      <c r="B4" t="n">
        <v>68.51600000000001</v>
      </c>
      <c r="C4" t="n">
        <v>78.81399999999999</v>
      </c>
      <c r="D4" t="n">
        <v>67.79000000000001</v>
      </c>
      <c r="E4" t="n">
        <v>73.53700000000001</v>
      </c>
      <c r="F4" t="n">
        <v>4.968</v>
      </c>
      <c r="G4" t="n">
        <v>19.549</v>
      </c>
      <c r="H4" t="n">
        <v>19.213</v>
      </c>
      <c r="I4" t="n">
        <v>47.48385714285715</v>
      </c>
      <c r="J4" t="n">
        <v>47.48385714285715</v>
      </c>
      <c r="K4" t="n">
        <v>47.48385714285715</v>
      </c>
      <c r="M4" t="n">
        <v>130</v>
      </c>
    </row>
    <row r="5">
      <c r="A5" t="n">
        <v>4</v>
      </c>
      <c r="B5" t="n">
        <v>146.426</v>
      </c>
      <c r="C5" t="n">
        <v>133.537</v>
      </c>
      <c r="D5" t="n">
        <v>151.3</v>
      </c>
      <c r="E5" t="n">
        <v>131.241</v>
      </c>
      <c r="F5" t="n">
        <v>145.902</v>
      </c>
      <c r="G5" t="n">
        <v>150.575</v>
      </c>
      <c r="H5" t="n">
        <v>148.494</v>
      </c>
      <c r="I5" t="n">
        <v>143.925</v>
      </c>
      <c r="J5" t="n">
        <v>143.925</v>
      </c>
      <c r="K5" t="n">
        <v>143.925</v>
      </c>
      <c r="M5" t="n">
        <v>130</v>
      </c>
    </row>
    <row r="6">
      <c r="A6" t="n">
        <v>5</v>
      </c>
      <c r="B6" t="n">
        <v>141.876</v>
      </c>
      <c r="C6" t="n">
        <v>116.567</v>
      </c>
      <c r="D6" t="n">
        <v>150.818</v>
      </c>
      <c r="E6" t="n">
        <v>147.958</v>
      </c>
      <c r="F6" t="n">
        <v>145.246</v>
      </c>
      <c r="G6" t="n">
        <v>149.287</v>
      </c>
      <c r="H6" t="n">
        <v>147.408</v>
      </c>
      <c r="I6" t="n">
        <v>142.7371428571429</v>
      </c>
      <c r="J6" t="n">
        <v>142.7371428571429</v>
      </c>
      <c r="K6" t="n">
        <v>142.7371428571429</v>
      </c>
      <c r="M6" t="n">
        <v>130</v>
      </c>
    </row>
    <row r="7">
      <c r="A7" t="n">
        <v>6</v>
      </c>
      <c r="B7" t="n">
        <v>141.824</v>
      </c>
      <c r="C7" t="n">
        <v>148.523</v>
      </c>
      <c r="D7" t="n">
        <v>152.739</v>
      </c>
      <c r="E7" t="n">
        <v>150.497</v>
      </c>
      <c r="F7" t="n">
        <v>150.859</v>
      </c>
      <c r="G7" t="n">
        <v>151.168</v>
      </c>
      <c r="H7" t="n">
        <v>151.839</v>
      </c>
      <c r="I7" t="n">
        <v>149.6355714285714</v>
      </c>
      <c r="J7" t="n">
        <v>149.6355714285714</v>
      </c>
      <c r="K7" t="n">
        <v>149.6355714285714</v>
      </c>
      <c r="M7" t="n">
        <v>130</v>
      </c>
    </row>
    <row r="8">
      <c r="A8" t="n">
        <v>7</v>
      </c>
      <c r="B8" t="n">
        <v>143.149</v>
      </c>
      <c r="C8" t="n">
        <v>149.902</v>
      </c>
      <c r="D8" t="n">
        <v>150.895</v>
      </c>
      <c r="E8" t="n">
        <v>150.681</v>
      </c>
      <c r="F8" t="n">
        <v>142.383</v>
      </c>
      <c r="G8" t="n">
        <v>155.46</v>
      </c>
      <c r="H8" t="n">
        <v>149.714</v>
      </c>
      <c r="I8" t="n">
        <v>148.8834285714286</v>
      </c>
      <c r="J8" t="n">
        <v>148.8834285714286</v>
      </c>
      <c r="K8" t="n">
        <v>148.8834285714286</v>
      </c>
      <c r="M8" t="n">
        <v>130</v>
      </c>
    </row>
    <row r="9">
      <c r="A9" t="n">
        <v>8</v>
      </c>
      <c r="B9" t="n">
        <v>142.094</v>
      </c>
      <c r="C9" t="n">
        <v>146.444</v>
      </c>
      <c r="D9" t="n">
        <v>146.887</v>
      </c>
      <c r="E9" t="n">
        <v>146.122</v>
      </c>
      <c r="F9" t="n">
        <v>145.357</v>
      </c>
      <c r="G9" t="n">
        <v>149.049</v>
      </c>
      <c r="H9" t="n">
        <v>150.203</v>
      </c>
      <c r="I9" t="n">
        <v>146.5937142857143</v>
      </c>
      <c r="J9" t="n">
        <v>146.5937142857143</v>
      </c>
      <c r="K9" t="n">
        <v>146.5937142857143</v>
      </c>
      <c r="M9" t="n">
        <v>130</v>
      </c>
    </row>
    <row r="10">
      <c r="A10" t="n">
        <v>9</v>
      </c>
      <c r="B10" t="n">
        <v>151.12</v>
      </c>
      <c r="C10" t="n">
        <v>145.467</v>
      </c>
      <c r="D10" t="n">
        <v>147.347</v>
      </c>
      <c r="E10" t="n">
        <v>148.26</v>
      </c>
      <c r="F10" t="n">
        <v>140.916</v>
      </c>
      <c r="G10" t="n">
        <v>153.765</v>
      </c>
      <c r="H10" t="n">
        <v>150.153</v>
      </c>
      <c r="I10" t="n">
        <v>148.1468571428571</v>
      </c>
      <c r="J10" t="n">
        <v>148.1468571428571</v>
      </c>
      <c r="K10" t="n">
        <v>148.1468571428571</v>
      </c>
      <c r="M10" t="n">
        <v>130</v>
      </c>
    </row>
    <row r="11">
      <c r="A11" t="n">
        <v>10</v>
      </c>
      <c r="B11" t="n">
        <v>143.127</v>
      </c>
      <c r="C11" t="n">
        <v>144.537</v>
      </c>
      <c r="D11" t="n">
        <v>145.866</v>
      </c>
      <c r="E11" t="n">
        <v>147.437</v>
      </c>
      <c r="F11" t="n">
        <v>144.134</v>
      </c>
      <c r="G11" t="n">
        <v>150.538</v>
      </c>
      <c r="H11" t="n">
        <v>150.901</v>
      </c>
      <c r="I11" t="n">
        <v>146.6485714285714</v>
      </c>
      <c r="J11" t="n">
        <v>146.6485714285714</v>
      </c>
      <c r="K11" t="n">
        <v>146.6485714285714</v>
      </c>
      <c r="M11" t="n">
        <v>130</v>
      </c>
    </row>
    <row r="12">
      <c r="A12" t="n">
        <v>11</v>
      </c>
      <c r="B12" t="n">
        <v>145.681</v>
      </c>
      <c r="C12" t="n">
        <v>146.594</v>
      </c>
      <c r="D12" t="n">
        <v>146.218</v>
      </c>
      <c r="E12" t="n">
        <v>146.232</v>
      </c>
      <c r="F12" t="n">
        <v>144.634</v>
      </c>
      <c r="G12" t="n">
        <v>147.051</v>
      </c>
      <c r="H12" t="n">
        <v>147.735</v>
      </c>
      <c r="I12" t="n">
        <v>146.3064285714286</v>
      </c>
      <c r="J12" t="n">
        <v>146.3064285714286</v>
      </c>
      <c r="K12" t="n">
        <v>146.3064285714286</v>
      </c>
      <c r="M12" t="n">
        <v>130</v>
      </c>
    </row>
    <row r="13">
      <c r="A13" t="n">
        <v>12</v>
      </c>
      <c r="B13" t="n">
        <v>100.588</v>
      </c>
      <c r="C13" t="n">
        <v>145.666</v>
      </c>
      <c r="D13" t="n">
        <v>142.659</v>
      </c>
      <c r="E13" t="n">
        <v>143.263</v>
      </c>
      <c r="F13" t="n">
        <v>143.048</v>
      </c>
      <c r="G13" t="n">
        <v>147.156</v>
      </c>
      <c r="H13" t="n">
        <v>148.284</v>
      </c>
      <c r="I13" t="n">
        <v>138.6662857142857</v>
      </c>
      <c r="J13" t="n">
        <v>138.6662857142857</v>
      </c>
      <c r="K13" t="n">
        <v>138.6662857142857</v>
      </c>
      <c r="M13" t="n">
        <v>130</v>
      </c>
    </row>
    <row r="14">
      <c r="A14" t="n">
        <v>13</v>
      </c>
      <c r="B14" t="n">
        <v>141.18</v>
      </c>
      <c r="C14" t="n">
        <v>144.859</v>
      </c>
      <c r="D14" t="n">
        <v>146.645</v>
      </c>
      <c r="E14" t="n">
        <v>144.242</v>
      </c>
      <c r="F14" t="n">
        <v>142.214</v>
      </c>
      <c r="G14" t="n">
        <v>151.546</v>
      </c>
      <c r="H14" t="n">
        <v>150.955</v>
      </c>
      <c r="I14" t="n">
        <v>145.9487142857143</v>
      </c>
      <c r="J14" t="n">
        <v>145.9487142857143</v>
      </c>
      <c r="K14" t="n">
        <v>145.9487142857143</v>
      </c>
      <c r="M14" t="n">
        <v>130</v>
      </c>
    </row>
    <row r="15">
      <c r="A15" t="n">
        <v>14</v>
      </c>
      <c r="B15" t="n">
        <v>148.047</v>
      </c>
      <c r="C15" t="n">
        <v>147.791</v>
      </c>
      <c r="D15" t="n">
        <v>147.765</v>
      </c>
      <c r="E15" t="n">
        <v>147.241</v>
      </c>
      <c r="F15" t="n">
        <v>142.596</v>
      </c>
      <c r="G15" t="n">
        <v>146.664</v>
      </c>
      <c r="H15" t="n">
        <v>146.825</v>
      </c>
      <c r="I15" t="n">
        <v>146.7041428571428</v>
      </c>
      <c r="J15" t="n">
        <v>146.7041428571428</v>
      </c>
      <c r="K15" t="n">
        <v>146.7041428571428</v>
      </c>
      <c r="M15" t="n">
        <v>130</v>
      </c>
    </row>
    <row r="16">
      <c r="A16" t="n">
        <v>15</v>
      </c>
      <c r="B16" t="n">
        <v>79.999</v>
      </c>
      <c r="C16" t="n">
        <v>148.655</v>
      </c>
      <c r="D16" t="n">
        <v>149.729</v>
      </c>
      <c r="E16" t="n">
        <v>145.594</v>
      </c>
      <c r="F16" t="n">
        <v>143.124</v>
      </c>
      <c r="G16" t="n">
        <v>147.285</v>
      </c>
      <c r="H16" t="n">
        <v>147.339</v>
      </c>
      <c r="I16" t="n">
        <v>137.3892857142857</v>
      </c>
      <c r="J16" t="n">
        <v>137.3892857142857</v>
      </c>
      <c r="K16" t="n">
        <v>137.3892857142857</v>
      </c>
      <c r="M16" t="n">
        <v>130</v>
      </c>
    </row>
    <row r="17">
      <c r="A17" t="n">
        <v>16</v>
      </c>
      <c r="B17" t="n">
        <v>141.064</v>
      </c>
      <c r="C17" t="n">
        <v>149.333</v>
      </c>
      <c r="D17" t="n">
        <v>153.253</v>
      </c>
      <c r="E17" t="n">
        <v>151.293</v>
      </c>
      <c r="F17" t="n">
        <v>145.897</v>
      </c>
      <c r="G17" t="n">
        <v>151.401</v>
      </c>
      <c r="H17" t="n">
        <v>149.092</v>
      </c>
      <c r="I17" t="n">
        <v>148.7618571428572</v>
      </c>
      <c r="J17" t="n">
        <v>148.7618571428572</v>
      </c>
      <c r="K17" t="n">
        <v>148.7618571428572</v>
      </c>
      <c r="M17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2026-01-15T08:42:44Z</dcterms:created>
  <dcterms:modified xmlns:dcterms="http://purl.org/dc/terms/" xmlns:xsi="http://www.w3.org/2001/XMLSchema-instance" xsi:type="dcterms:W3CDTF">2026-01-15T08:42:44Z</dcterms:modified>
</cp:coreProperties>
</file>